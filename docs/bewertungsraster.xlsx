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fhnw365.sharepoint.com/teams/O-I4DS-Vision-And-Sensor-Data_M365/Freigegebene Dokumente/General/teaching/new-rubric/"/>
    </mc:Choice>
  </mc:AlternateContent>
  <xr:revisionPtr revIDLastSave="185" documentId="13_ncr:1_{33B93637-1799-4D32-BC46-01E1755C3D5C}" xr6:coauthVersionLast="47" xr6:coauthVersionMax="47" xr10:uidLastSave="{46471C6A-10A9-47F6-AE37-CF1338C24DBC}"/>
  <bookViews>
    <workbookView xWindow="-110" yWindow="-110" windowWidth="34620" windowHeight="13900" xr2:uid="{291C89BA-2D8E-4489-94BE-542C4F10DADE}"/>
  </bookViews>
  <sheets>
    <sheet name="achieved_performance" sheetId="4" r:id="rId1"/>
    <sheet name="dlbs_interpretations-indicators" sheetId="10" r:id="rId2"/>
    <sheet name="competence_dimensions" sheetId="3" r:id="rId3"/>
    <sheet name="performance_levels" sheetId="1"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4" l="1"/>
  <c r="F12" i="4" l="1"/>
  <c r="G12" i="4"/>
  <c r="G13" i="4" s="1"/>
</calcChain>
</file>

<file path=xl/sharedStrings.xml><?xml version="1.0" encoding="utf-8"?>
<sst xmlns="http://schemas.openxmlformats.org/spreadsheetml/2006/main" count="101" uniqueCount="95">
  <si>
    <t>Meets basic requirements but shows noticeable deficiencies or omissions.</t>
  </si>
  <si>
    <t>Well completed with only minor deficiencies or omissions.</t>
  </si>
  <si>
    <t>Fully and comprehensively completed without relevant deficiencies.</t>
  </si>
  <si>
    <t>Does not demonstrate sufficient methodological competence.</t>
  </si>
  <si>
    <t>Demonstrates basic methodological competence.</t>
  </si>
  <si>
    <t>Applies standard approaches correctly but with limited justification or reflection.</t>
  </si>
  <si>
    <t>Demonstrates solid methodological competence.</t>
  </si>
  <si>
    <t>Selects and applies standard approaches thoughtfully and with clear justification.</t>
  </si>
  <si>
    <t>Demonstrates advanced methodological competence.</t>
  </si>
  <si>
    <t>Goes beyond standard approaches through justified methodological depth or original intellectual contribution.</t>
  </si>
  <si>
    <t>Applies approaches incorrectly or incompletely.</t>
  </si>
  <si>
    <t>Data &amp; Domain Competence</t>
  </si>
  <si>
    <t>Methodological Competence</t>
  </si>
  <si>
    <t>Technical Implementation Competence</t>
  </si>
  <si>
    <t>Evaluation Competence</t>
  </si>
  <si>
    <t>Analytical &amp; Communication Competence</t>
  </si>
  <si>
    <t>Selects, justifies, and appropriately uses data in alignment with the use case, demonstrating domain understanding and proper referencing of sources.</t>
  </si>
  <si>
    <t>Designs and justifies suitable methodological approaches, including the selection of models, parameters, and metrics, and where appropriate integrates advanced or original methods.</t>
  </si>
  <si>
    <t>Implements algorithms and methods correctly and reliably in a technically sound and reproducible manner.</t>
  </si>
  <si>
    <t>Interprets and contextualizes results in relation to the use case, structures the analysis logically, and communicates findings clearly and convincingly.</t>
  </si>
  <si>
    <t>Data &amp; Domain</t>
  </si>
  <si>
    <t>Methodological</t>
  </si>
  <si>
    <t>Technical Implementation</t>
  </si>
  <si>
    <t>Evaluation</t>
  </si>
  <si>
    <t>Analytical &amp; Communication</t>
  </si>
  <si>
    <t>Use case and data are generally appropriate but weakly justified or loosely aligned.</t>
  </si>
  <si>
    <t>Weight</t>
  </si>
  <si>
    <t>Points Achieved</t>
  </si>
  <si>
    <t>Competence</t>
  </si>
  <si>
    <t>Interpretation</t>
  </si>
  <si>
    <t>Illustrative Indicators Strong Performance (Non-Exhaustive)</t>
  </si>
  <si>
    <t>Illustrative Indicators Weak Performance (Non-Exhaustive)</t>
  </si>
  <si>
    <t>In short: correct but limited justification</t>
  </si>
  <si>
    <t>In short: incorrect or fundamentally flawed</t>
  </si>
  <si>
    <t>In short:  correct and clearly justified</t>
  </si>
  <si>
    <t>In short: goes beyond standard approaches</t>
  </si>
  <si>
    <t>Notes</t>
  </si>
  <si>
    <t>Total Points</t>
  </si>
  <si>
    <t>Grade</t>
  </si>
  <si>
    <t>Designs and conducts meaningful evaluations using appropriate metrics and visualizations specific to the use case.</t>
  </si>
  <si>
    <t>Methodological Design</t>
  </si>
  <si>
    <t>Designs and justifies suitable methodological approaches, including the selection of models, parameters, and where appropriate integrates advanced or original methods.</t>
  </si>
  <si>
    <t>Methods are missing, incorrect, unsuitable, or fundamentally misunderstood.</t>
  </si>
  <si>
    <t>Use case and data are missing, unclear, inappropriate, or fundamentally misaligned.</t>
  </si>
  <si>
    <t>0 points</t>
  </si>
  <si>
    <t>2 points</t>
  </si>
  <si>
    <t>3 points</t>
  </si>
  <si>
    <t>1 point</t>
  </si>
  <si>
    <t xml:space="preserve">3 points – robust and clearly structured implementation  </t>
  </si>
  <si>
    <t xml:space="preserve">2 points – correct implementation with clear steps  </t>
  </si>
  <si>
    <t xml:space="preserve">1 point – basic implementation but weaknesses in clarity or structure  </t>
  </si>
  <si>
    <t>0 points – incorrect implementation</t>
  </si>
  <si>
    <t>Bonus Credits</t>
  </si>
  <si>
    <t>3 Points</t>
  </si>
  <si>
    <t>2 Points</t>
  </si>
  <si>
    <t>0 Points</t>
  </si>
  <si>
    <t>1 Points</t>
  </si>
  <si>
    <t xml:space="preserve">No meaningful quantitative evaluation or not usable for the use case.
</t>
  </si>
  <si>
    <t>Limited or inconsistent evaluation. Metrics are weakly justified or not suitable. Results are mostly descriptive, with no clear or structured comparison.</t>
  </si>
  <si>
    <t>Appropriate and consistent evaluation using relevant metrics. Results are comparable across configurations, but not clearly condensed (e.g. no clear best-performing settings or ranking). Parameter variation is present but not fully focused.</t>
  </si>
  <si>
    <t>Designs and conducts meaningful, use-case-specific evaluations using appropriate metrics and visualizations to enable clear and structured comparison of results.</t>
  </si>
  <si>
    <t>Implementation is clean, well-structured, and technically mature. Algorithms are executed correctly and consistently, producing reliable results. Computational steps and intermediate results are fully traceable, with well-chosen checkpoints, leading to a lean and robust solution.</t>
  </si>
  <si>
    <t>Implementation is correct and usable. Algorithms are generally executed properly and produce technically valid results. Computational steps and intermediate results are mostly traceable, though some gaps, unnecessary complexity, or too many experiments reduce clarity.</t>
  </si>
  <si>
    <t xml:space="preserve"> Implementation is present but unreliable or inconsistent. Results are only partially usable. Key computational steps are unclear, incomplete, or inconsistently executed, making it difficult to trace how results are produced.</t>
  </si>
  <si>
    <t>Implementation is incorrect, incomplete, or non-functional. Results are not usable. Core computational steps are missing or fundamentally flawed, and results cannot be traced at all.</t>
  </si>
  <si>
    <t>Implements algorithms and methods correctly and produces technically valid results. Computational steps and intermediate results are presented clearly and in a fully traceable manner, allowing the workflow from input to output to be followed. The implementation is well-structured, focused, and based on a small number of coherent, clearly organized experiments.</t>
  </si>
  <si>
    <t>I see something, but cannot really compare</t>
  </si>
  <si>
    <t>I can compare, but not decide clearly</t>
  </si>
  <si>
    <t xml:space="preserve">Clear, concise, and insightful evaluation. Well-justified metrics. Results are compactly compared, enabling direct comparison (e.g. best settings, trade-offs). Parameter variation is focused and supports clear quantitative reasoning.
</t>
  </si>
  <si>
    <t>I can clearly see what works best and why</t>
  </si>
  <si>
    <t>Standard methods are applied correctly, but justification is limited or generic.
Weak connection between method, signal, and use case; parameters appear arbitrary or unexplained.</t>
  </si>
  <si>
    <t>Methods are appropriate and clearly justified.
There is a logical link between signal characteristics, method choice, and expected outcome.
Relevant trade-offs are recognised, but explanations may remain partly generic or not fully developed.</t>
  </si>
  <si>
    <t>Methodological choices show strong depth and justification.
Assumptions are explicit, and trade-offs are clearly and systematically reasoned.
The approach is tightly aligned with the use case, including a clear sense of what constitutes a practically useful result.
May include particularly strong parameter reasoning or original insight.</t>
  </si>
  <si>
    <t>Use case and data are clearly defined and appropriately aligned with sound justification. There is some linkage between data characteristics and the analytical objective, but reasoning remains partly general or implicit.</t>
  </si>
  <si>
    <t>Use case and data are thoughtfully framed and optimally aligned, demonstrating deep understanding of task constraints. Data characteristics are explicitly described and clearly linked to the analytical objective, with evidence that the data contains the relevant structures required for the task.</t>
  </si>
  <si>
    <t>Selects, justifies, and appropriately uses data in alignment with the use case, demonstrating domain understanding and proper referencing of sources, including explicit reasoning about relevant signal or data characteristics.</t>
  </si>
  <si>
    <t>Results are neither described nor interpreted; lack of written communication.</t>
  </si>
  <si>
    <t>Results are described but interpretation remains limited, superficial, or loosely connected to the use case. Communication is minimal, unfocused, or generic.</t>
  </si>
  <si>
    <t>Results are clearly described, interpreted, and explicitly linked to the use case. The analysis is logically structured and communicated clearly, but reasoning remains primarily descriptive or somewhat generic.</t>
  </si>
  <si>
    <t>Results are deeply contextualized to the use case, critically reflected, and translated into concrete insights about when and why the method works or fails. Explanations are non-generic, insight-driven, and include clear reasoning, limitations, boundary conditions, and methodological implications.</t>
  </si>
  <si>
    <t>In dlbs, this includes clearly defining a supervised learning problem (images: object detection or segmentation; signals: prediction) and its use case, ensuring that the selected dataset and labels are appropriate for the objective, and conducting a dlbs-specific exploratory data analysis (visual inspection, qualitative understanding, and quantitative analysis) to assess data suitability and limitations.</t>
  </si>
  <si>
    <t>- Clear and measurable problem statement (task + use case).
- Explicit dataset description (size, structure, labels).
- Explicit explanation of how dataset supports the objective.
- DLBS-specific EDA
- Clear train/validation/test separation.
- Discussion of limitations (small dataset, imbalance, annotation quality).
- Awareness of class imbalance or small data constraints.
- Consideration of deployment implications.</t>
  </si>
  <si>
    <t>- Vague or purely technical task without use-case motivation.
- Dataset chosen without explaining its suitability.
- Only generic ML-EDA, not specific to dlbs topics
- No quantitative or qualitative inspection of data.
- Ignoring imbalance or label issues.
- Data leakage between splits.</t>
  </si>
  <si>
    <t>In dlbs, this includes designing and justifying a deep learning solution pipeline, including baseline definition, model architecture choice, loss function, evaluation strategy (e.g., validation split or cross-validation where appropriate), regularization, and hyperparameter tuning.</t>
  </si>
  <si>
    <t>- Clear baseline before introducing complex models.
- Reasoned architecture and parameter choice (e.g., depth, receptive field, inductive bias).
- Reasoned selection of loss functions and evaluation metrics.
- Explicit overfitting phase and analysis.
- Systematic regularization experiments.
- Structured hyperparameter tuning strategy.
- Appropriate validation strategy, including cross-validation where justified (e.g., small datasets).</t>
  </si>
  <si>
    <t>- Jumping directly to complex architectures without a baseline.
- Architecture or parameters chosen without justification.
- No explicit experimental logic (overfit → regularize → tune).
- Validation strategy unclear or inappropriate.
- No separation between model selection and final evaluation.</t>
  </si>
  <si>
    <t>In dlbs, this includes correctly implementing the training pipeline, ensuring proper data handling (splits, augmentation), presenting training diagnostics transparently (e.g., loss curves, predictions), and structuring notebooks and code so that the experimental process is technically sound and traceable.</t>
  </si>
  <si>
    <t>- Correct implementation of training and validation loops.
- Proper handling of train/validation/test splits.
- No data leakage.
- Transparent presentation of loss curves and model diagnostics.
- Clear notebook structure following the experimental stages.
- Clean and readable repository structure.</t>
  </si>
  <si>
    <t>- Data leakage between splits.
- Missing or unclear diagnostics.
- Incorrect training setup.
- Hard-to-follow notebook structure.
- Non-traceable experimental steps.</t>
  </si>
  <si>
    <t>In dlbs, this includes objectively measuring and comparing model performance using appropriate task-specific metrics, transparently reporting results across the DLBS stages, clearly separating validation and test performance, and presenting results in a structured and comparable manner.</t>
  </si>
  <si>
    <t>- Clear quantitative comparison between baseline, regularized, and tuned models.
- Appropriate task-specific metrics (e.g., IoU, F1, MAE).
- Explicit distinction between train and validation/test results.
- Transparent reporting of both improvements and failures.
- Structured overview of results (e.g., summary table comparing models and stages).
- Visualization of representative predictions (including successful vs. failure cases).
- Reporting stability across runs where relevant.</t>
  </si>
  <si>
    <t>- Reporting only a single final score.
- No baseline comparison.
- Results presented in a fragmented or non-comparable way.
- No structured overview (e.g., missing summary table).
- Selective reporting of favorable results.
- Metrics not aligned with the task.</t>
  </si>
  <si>
    <t>In dlbs, this includes interpreting model results explicitly in relation to the defined research question and use case, explaining what the observed performance implies for applicability and deployment, critically reflecting on strengths and limitations, and presenting the work in a clear and logically structured narrative.</t>
  </si>
  <si>
    <t>- Clear and relevant observations (what is seen in the results, e.g., overfitting patterns, systematic errors, performance differences between stages).
- Explicit interpretation (what these observations mean for the research question and defined use case).
- Critical discussion (why improvements occurred, where the model fails, and under which conditions it works).
- Reflection on the applicability of the results to the intended use case or deployment scenario.
- Honest assessment of strengths, limitations, and boundary conditions.
- Coherent narrative connecting research question → method → evidence → interpretation → applicability.</t>
  </si>
  <si>
    <t>- Observations reported without interpretation.
- Interpretation without linking back to the use case.
- No discussion of limitations or applicability.
- Purely descriptive reporting of metrics.
- Overstated conclusions unsupported by evidence.
- Weak or unclear argumentative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</si>
</sst>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49" fontId="0" fillId="0" borderId="0" xfId="0" applyNumberFormat="1" applyAlignment="1">
      <alignment wrapText="1"/>
    </xf>
    <xf numFmtId="1" fontId="0" fillId="0" borderId="0" xfId="0" applyNumberFormat="1" applyAlignment="1">
      <alignment wrapText="1"/>
    </xf>
    <xf numFmtId="0" fontId="0" fillId="0" borderId="0" xfId="0" applyAlignment="1">
      <alignment wrapText="1"/>
    </xf>
    <xf numFmtId="49" fontId="0" fillId="0" borderId="0" xfId="0" quotePrefix="1" applyNumberFormat="1" applyAlignment="1">
      <alignment vertical="top" wrapText="1"/>
    </xf>
    <xf numFmtId="49" fontId="0" fillId="0" borderId="0" xfId="0" applyNumberFormat="1" applyAlignment="1">
      <alignment vertical="top" wrapText="1"/>
    </xf>
    <xf numFmtId="0" fontId="0" fillId="0" borderId="0" xfId="0" applyAlignment="1">
      <alignment vertical="top"/>
    </xf>
    <xf numFmtId="0" fontId="1" fillId="0" borderId="0" xfId="0" applyFont="1" applyAlignment="1">
      <alignment vertical="center"/>
    </xf>
    <xf numFmtId="49" fontId="0" fillId="0" borderId="0" xfId="0" applyNumberFormat="1" applyAlignment="1">
      <alignment vertical="center" wrapText="1"/>
    </xf>
    <xf numFmtId="49" fontId="1" fillId="0" borderId="0" xfId="0" applyNumberFormat="1" applyFont="1" applyAlignment="1">
      <alignment wrapText="1"/>
    </xf>
  </cellXfs>
  <cellStyles count="1">
    <cellStyle name="Normal" xfId="0" builtinId="0"/>
  </cellStyles>
  <dxfs count="15">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numFmt numFmtId="30" formatCode="@"/>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0" formatCode="@"/>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numFmt numFmtId="30" formatCode="@"/>
      <alignment horizontal="general" vertical="center" textRotation="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Aptos Narrow"/>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89C468-AE82-4BF4-979B-713B9E10055B}" name="Table2" displayName="Table2" ref="A1:I13" totalsRowShown="0" headerRowDxfId="9" dataDxfId="8">
  <autoFilter ref="A1:I13" xr:uid="{1989C468-AE82-4BF4-979B-713B9E1005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71DC0EE-03AD-4C61-BF98-BA1C5AF4E6DB}" name="Competence" dataDxfId="7"/>
    <tableColumn id="2" xr3:uid="{CDFC6CAB-820D-4C41-A76B-39B7C61A9C74}" name="0 Points" dataDxfId="6"/>
    <tableColumn id="3" xr3:uid="{0FE1B8B9-E5DC-4317-B74C-8D150C2A5ECC}" name="1 Points" dataDxfId="5"/>
    <tableColumn id="4" xr3:uid="{0CEF8825-405E-4452-9BE1-968276FF1176}" name="2 Points" dataDxfId="4"/>
    <tableColumn id="5" xr3:uid="{F9D3D764-FD81-4B9F-85A9-925F4C16ECAB}" name="3 Points" dataDxfId="3"/>
    <tableColumn id="6" xr3:uid="{B73D6D4E-8D01-4ED2-AC1A-6D44BC57624B}" name="Weight" dataDxfId="2"/>
    <tableColumn id="7" xr3:uid="{4857E3FB-8D19-44DF-BA12-6D8561D09CC3}" name="Points Achieved" dataDxfId="1"/>
    <tableColumn id="9" xr3:uid="{32410447-A1D6-4850-9CDD-EB7F37F7ADE4}" name="Bonus Credits"/>
    <tableColumn id="8" xr3:uid="{6AD4CCBD-FE2E-4464-8ADD-B7E9D8615471}" name="Notes" dataDxfId="0"/>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2997AE-4AA2-4CC3-B2D0-8AED8D104CCC}" name="Table32" displayName="Table32" ref="A1:D6" totalsRowShown="0" dataDxfId="14">
  <autoFilter ref="A1:D6" xr:uid="{77AF2826-6DE8-4A48-BC4D-B7328143928A}">
    <filterColumn colId="0" hiddenButton="1"/>
    <filterColumn colId="1" hiddenButton="1"/>
    <filterColumn colId="2" hiddenButton="1"/>
    <filterColumn colId="3" hiddenButton="1"/>
  </autoFilter>
  <tableColumns count="4">
    <tableColumn id="1" xr3:uid="{74C7ECCD-4836-4E9D-AB7D-E41D303AA93F}" name="Competence" dataDxfId="13"/>
    <tableColumn id="2" xr3:uid="{8A0786B7-40CA-4CB1-A6D1-6EEA7F13D56A}" name="Interpretation" dataDxfId="12"/>
    <tableColumn id="3" xr3:uid="{D94E51E2-7E75-4054-B0BA-7780D03C91FE}" name="Illustrative Indicators Strong Performance (Non-Exhaustive)" dataDxfId="11"/>
    <tableColumn id="4" xr3:uid="{B4EF0ABD-7137-464A-879B-5765E9B62CE2}" name="Illustrative Indicators Weak Performance (Non-Exhaustive)" dataDxfId="1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66ADB-1081-4708-836B-89A4832BB7AA}">
  <dimension ref="A1:I13"/>
  <sheetViews>
    <sheetView tabSelected="1" topLeftCell="A7" zoomScale="102" zoomScaleNormal="140" workbookViewId="0">
      <selection activeCell="G11" sqref="G11"/>
    </sheetView>
  </sheetViews>
  <sheetFormatPr defaultRowHeight="14.5" x14ac:dyDescent="0.35"/>
  <cols>
    <col min="1" max="1" width="42.453125" customWidth="1"/>
    <col min="2" max="2" width="28.7265625" bestFit="1" customWidth="1"/>
    <col min="3" max="3" width="29.453125" customWidth="1"/>
    <col min="4" max="4" width="29.26953125" bestFit="1" customWidth="1"/>
    <col min="5" max="5" width="29.1796875" bestFit="1" customWidth="1"/>
    <col min="6" max="6" width="7.453125" bestFit="1" customWidth="1"/>
    <col min="7" max="7" width="15.54296875" bestFit="1" customWidth="1"/>
    <col min="8" max="8" width="15.54296875" customWidth="1"/>
    <col min="9" max="9" width="38.54296875" customWidth="1"/>
  </cols>
  <sheetData>
    <row r="1" spans="1:9" x14ac:dyDescent="0.35">
      <c r="A1" s="1" t="s">
        <v>28</v>
      </c>
      <c r="B1" s="1" t="s">
        <v>55</v>
      </c>
      <c r="C1" s="1" t="s">
        <v>56</v>
      </c>
      <c r="D1" s="1" t="s">
        <v>54</v>
      </c>
      <c r="E1" s="1" t="s">
        <v>53</v>
      </c>
      <c r="F1" s="1" t="s">
        <v>26</v>
      </c>
      <c r="G1" s="1" t="s">
        <v>27</v>
      </c>
      <c r="H1" s="1" t="s">
        <v>52</v>
      </c>
      <c r="I1" s="1" t="s">
        <v>36</v>
      </c>
    </row>
    <row r="2" spans="1:9" x14ac:dyDescent="0.35">
      <c r="A2" s="1" t="s">
        <v>20</v>
      </c>
      <c r="B2" s="4"/>
      <c r="C2" s="4"/>
      <c r="D2" s="4"/>
      <c r="E2" s="4"/>
      <c r="F2" s="5">
        <v>1</v>
      </c>
      <c r="G2" s="5">
        <v>0</v>
      </c>
      <c r="H2" s="5">
        <v>0</v>
      </c>
      <c r="I2" s="3"/>
    </row>
    <row r="3" spans="1:9" s="8" customFormat="1" ht="130.5" x14ac:dyDescent="0.35">
      <c r="A3" s="6" t="s">
        <v>75</v>
      </c>
      <c r="B3" s="6" t="s">
        <v>43</v>
      </c>
      <c r="C3" s="6" t="s">
        <v>25</v>
      </c>
      <c r="D3" s="6" t="s">
        <v>73</v>
      </c>
      <c r="E3" s="6" t="s">
        <v>74</v>
      </c>
      <c r="F3" s="7"/>
      <c r="G3" s="7"/>
      <c r="H3" s="7"/>
      <c r="I3" s="3"/>
    </row>
    <row r="4" spans="1:9" x14ac:dyDescent="0.35">
      <c r="A4" s="1" t="s">
        <v>40</v>
      </c>
      <c r="B4" s="3"/>
      <c r="C4" s="3"/>
      <c r="D4" s="3"/>
      <c r="E4" s="3"/>
      <c r="F4" s="5">
        <v>1</v>
      </c>
      <c r="G4" s="5">
        <v>0</v>
      </c>
      <c r="H4" s="5">
        <v>0</v>
      </c>
      <c r="I4" s="3"/>
    </row>
    <row r="5" spans="1:9" s="8" customFormat="1" ht="174" x14ac:dyDescent="0.35">
      <c r="A5" s="6" t="s">
        <v>41</v>
      </c>
      <c r="B5" s="6" t="s">
        <v>42</v>
      </c>
      <c r="C5" s="6" t="s">
        <v>70</v>
      </c>
      <c r="D5" s="6" t="s">
        <v>71</v>
      </c>
      <c r="E5" s="6" t="s">
        <v>72</v>
      </c>
      <c r="F5" s="7"/>
      <c r="G5" s="7"/>
      <c r="H5" s="7"/>
      <c r="I5" s="3"/>
    </row>
    <row r="6" spans="1:9" x14ac:dyDescent="0.35">
      <c r="A6" s="1" t="s">
        <v>22</v>
      </c>
      <c r="B6" s="3"/>
      <c r="C6" s="3"/>
      <c r="D6" s="3"/>
      <c r="E6" s="3"/>
      <c r="F6" s="5">
        <v>1</v>
      </c>
      <c r="G6" s="5">
        <v>0</v>
      </c>
      <c r="H6" s="5">
        <v>0</v>
      </c>
      <c r="I6" s="3"/>
    </row>
    <row r="7" spans="1:9" s="8" customFormat="1" ht="145" x14ac:dyDescent="0.35">
      <c r="A7" s="6" t="s">
        <v>65</v>
      </c>
      <c r="B7" s="6" t="s">
        <v>64</v>
      </c>
      <c r="C7" s="6" t="s">
        <v>63</v>
      </c>
      <c r="D7" s="6" t="s">
        <v>62</v>
      </c>
      <c r="E7" s="6" t="s">
        <v>61</v>
      </c>
      <c r="F7" s="7"/>
      <c r="G7" s="7"/>
      <c r="H7" s="7"/>
      <c r="I7" s="3"/>
    </row>
    <row r="8" spans="1:9" ht="29" x14ac:dyDescent="0.35">
      <c r="A8" s="1" t="s">
        <v>23</v>
      </c>
      <c r="B8" s="3"/>
      <c r="C8" s="11" t="s">
        <v>66</v>
      </c>
      <c r="D8" s="11" t="s">
        <v>67</v>
      </c>
      <c r="E8" s="11" t="s">
        <v>69</v>
      </c>
      <c r="F8" s="5">
        <v>1</v>
      </c>
      <c r="G8" s="5">
        <v>0</v>
      </c>
      <c r="H8" s="5">
        <v>0</v>
      </c>
      <c r="I8" s="3"/>
    </row>
    <row r="9" spans="1:9" s="8" customFormat="1" ht="145" x14ac:dyDescent="0.35">
      <c r="A9" s="6" t="s">
        <v>60</v>
      </c>
      <c r="B9" s="6" t="s">
        <v>57</v>
      </c>
      <c r="C9" s="6" t="s">
        <v>58</v>
      </c>
      <c r="D9" s="6" t="s">
        <v>59</v>
      </c>
      <c r="E9" s="6" t="s">
        <v>68</v>
      </c>
      <c r="F9" s="7"/>
      <c r="G9" s="7"/>
      <c r="H9" s="7"/>
      <c r="I9" s="3"/>
    </row>
    <row r="10" spans="1:9" x14ac:dyDescent="0.35">
      <c r="A10" s="1" t="s">
        <v>24</v>
      </c>
      <c r="B10" s="3"/>
      <c r="C10" s="3"/>
      <c r="D10" s="3"/>
      <c r="E10" s="3"/>
      <c r="F10" s="5">
        <v>1</v>
      </c>
      <c r="G10" s="5">
        <v>0</v>
      </c>
      <c r="H10" s="5">
        <v>0</v>
      </c>
      <c r="I10" s="3"/>
    </row>
    <row r="11" spans="1:9" s="8" customFormat="1" ht="145" x14ac:dyDescent="0.35">
      <c r="A11" s="6" t="s">
        <v>19</v>
      </c>
      <c r="B11" s="6" t="s">
        <v>76</v>
      </c>
      <c r="C11" s="6" t="s">
        <v>77</v>
      </c>
      <c r="D11" s="6" t="s">
        <v>78</v>
      </c>
      <c r="E11" s="6" t="s">
        <v>79</v>
      </c>
      <c r="F11" s="7"/>
      <c r="G11" s="7"/>
      <c r="H11" s="7"/>
      <c r="I11" s="3"/>
    </row>
    <row r="12" spans="1:9" x14ac:dyDescent="0.35">
      <c r="A12" s="11" t="s">
        <v>37</v>
      </c>
      <c r="B12" s="3"/>
      <c r="C12" s="3"/>
      <c r="D12" s="3"/>
      <c r="E12" s="3"/>
      <c r="F12" s="4">
        <f>SUM(F2,F4,F6,F8,F10)</f>
        <v>5</v>
      </c>
      <c r="G12" s="4">
        <f>SUM(F2*G2,F4*G4,F6*G6,F8*G8,F10*G10)</f>
        <v>0</v>
      </c>
      <c r="H12" s="4">
        <f>SUM(H2,H4,H6,H8,H10)</f>
        <v>0</v>
      </c>
      <c r="I12" s="3"/>
    </row>
    <row r="13" spans="1:9" x14ac:dyDescent="0.35">
      <c r="A13" s="11" t="s">
        <v>38</v>
      </c>
      <c r="B13" s="3"/>
      <c r="C13" s="3"/>
      <c r="D13" s="3"/>
      <c r="E13" s="3"/>
      <c r="F13" s="3"/>
      <c r="G13" s="5">
        <f>MAX(1,MIN(6,IF(G12&lt;=5,1+3*G12/5,3+G12/5)))</f>
        <v>1</v>
      </c>
      <c r="H13" s="5"/>
      <c r="I13" s="3"/>
    </row>
  </sheetData>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92069-817E-49BF-8A66-792A1E8EBC3E}">
  <dimension ref="A1:D6"/>
  <sheetViews>
    <sheetView workbookViewId="0">
      <selection activeCell="D7" sqref="D7"/>
    </sheetView>
  </sheetViews>
  <sheetFormatPr defaultRowHeight="14.5" x14ac:dyDescent="0.35"/>
  <cols>
    <col min="1" max="1" width="30.7265625" customWidth="1"/>
    <col min="2" max="2" width="63.7265625" bestFit="1" customWidth="1"/>
    <col min="3" max="3" width="63.26953125" customWidth="1"/>
    <col min="4" max="4" width="56.26953125" bestFit="1" customWidth="1"/>
  </cols>
  <sheetData>
    <row r="1" spans="1:4" x14ac:dyDescent="0.35">
      <c r="A1" t="s">
        <v>28</v>
      </c>
      <c r="B1" t="s">
        <v>29</v>
      </c>
      <c r="C1" t="s">
        <v>30</v>
      </c>
      <c r="D1" t="s">
        <v>31</v>
      </c>
    </row>
    <row r="2" spans="1:4" ht="116" x14ac:dyDescent="0.35">
      <c r="A2" s="9" t="s">
        <v>20</v>
      </c>
      <c r="B2" s="10" t="s">
        <v>80</v>
      </c>
      <c r="C2" s="10" t="s">
        <v>81</v>
      </c>
      <c r="D2" s="10" t="s">
        <v>82</v>
      </c>
    </row>
    <row r="3" spans="1:4" ht="130.5" x14ac:dyDescent="0.35">
      <c r="A3" s="9" t="s">
        <v>21</v>
      </c>
      <c r="B3" s="10" t="s">
        <v>83</v>
      </c>
      <c r="C3" s="10" t="s">
        <v>84</v>
      </c>
      <c r="D3" s="10" t="s">
        <v>85</v>
      </c>
    </row>
    <row r="4" spans="1:4" ht="87" x14ac:dyDescent="0.35">
      <c r="A4" s="9" t="s">
        <v>22</v>
      </c>
      <c r="B4" s="10" t="s">
        <v>86</v>
      </c>
      <c r="C4" s="10" t="s">
        <v>87</v>
      </c>
      <c r="D4" s="10" t="s">
        <v>88</v>
      </c>
    </row>
    <row r="5" spans="1:4" ht="145" x14ac:dyDescent="0.35">
      <c r="A5" s="9" t="s">
        <v>23</v>
      </c>
      <c r="B5" s="10" t="s">
        <v>89</v>
      </c>
      <c r="C5" s="10" t="s">
        <v>90</v>
      </c>
      <c r="D5" s="10" t="s">
        <v>91</v>
      </c>
    </row>
    <row r="6" spans="1:4" ht="159.5" x14ac:dyDescent="0.35">
      <c r="A6" s="9" t="s">
        <v>24</v>
      </c>
      <c r="B6" s="10" t="s">
        <v>92</v>
      </c>
      <c r="C6" s="10" t="s">
        <v>93</v>
      </c>
      <c r="D6" s="10" t="s">
        <v>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25717-E649-46CF-9BAE-3300746199E3}">
  <dimension ref="A1:B5"/>
  <sheetViews>
    <sheetView workbookViewId="0">
      <selection activeCell="B6" sqref="B6"/>
    </sheetView>
  </sheetViews>
  <sheetFormatPr defaultRowHeight="14.5" x14ac:dyDescent="0.35"/>
  <cols>
    <col min="1" max="1" width="40" customWidth="1"/>
  </cols>
  <sheetData>
    <row r="1" spans="1:2" x14ac:dyDescent="0.35">
      <c r="A1" s="1" t="s">
        <v>11</v>
      </c>
      <c r="B1" t="s">
        <v>16</v>
      </c>
    </row>
    <row r="2" spans="1:2" x14ac:dyDescent="0.35">
      <c r="A2" s="1" t="s">
        <v>12</v>
      </c>
      <c r="B2" t="s">
        <v>17</v>
      </c>
    </row>
    <row r="3" spans="1:2" x14ac:dyDescent="0.35">
      <c r="A3" s="1" t="s">
        <v>13</v>
      </c>
      <c r="B3" t="s">
        <v>18</v>
      </c>
    </row>
    <row r="4" spans="1:2" x14ac:dyDescent="0.35">
      <c r="A4" s="1" t="s">
        <v>14</v>
      </c>
      <c r="B4" t="s">
        <v>39</v>
      </c>
    </row>
    <row r="5" spans="1:2" x14ac:dyDescent="0.35">
      <c r="A5" s="1" t="s">
        <v>15</v>
      </c>
      <c r="B5" t="s">
        <v>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2CF91-DCD1-4FF1-8592-D5584E580E92}">
  <dimension ref="A1:A29"/>
  <sheetViews>
    <sheetView workbookViewId="0">
      <selection activeCell="A29" sqref="A26:A29"/>
    </sheetView>
  </sheetViews>
  <sheetFormatPr defaultRowHeight="14.5" x14ac:dyDescent="0.35"/>
  <cols>
    <col min="1" max="1" width="92.1796875" customWidth="1"/>
  </cols>
  <sheetData>
    <row r="1" spans="1:1" x14ac:dyDescent="0.35">
      <c r="A1" s="1" t="s">
        <v>44</v>
      </c>
    </row>
    <row r="2" spans="1:1" x14ac:dyDescent="0.35">
      <c r="A2" t="s">
        <v>3</v>
      </c>
    </row>
    <row r="3" spans="1:1" x14ac:dyDescent="0.35">
      <c r="A3" t="s">
        <v>10</v>
      </c>
    </row>
    <row r="4" spans="1:1" x14ac:dyDescent="0.35">
      <c r="A4" t="s">
        <v>33</v>
      </c>
    </row>
    <row r="6" spans="1:1" x14ac:dyDescent="0.35">
      <c r="A6" s="1" t="s">
        <v>47</v>
      </c>
    </row>
    <row r="7" spans="1:1" x14ac:dyDescent="0.35">
      <c r="A7" t="s">
        <v>4</v>
      </c>
    </row>
    <row r="8" spans="1:1" x14ac:dyDescent="0.35">
      <c r="A8" t="s">
        <v>5</v>
      </c>
    </row>
    <row r="9" spans="1:1" x14ac:dyDescent="0.35">
      <c r="A9" s="2" t="s">
        <v>0</v>
      </c>
    </row>
    <row r="10" spans="1:1" x14ac:dyDescent="0.35">
      <c r="A10" t="s">
        <v>32</v>
      </c>
    </row>
    <row r="12" spans="1:1" x14ac:dyDescent="0.35">
      <c r="A12" s="1" t="s">
        <v>45</v>
      </c>
    </row>
    <row r="13" spans="1:1" x14ac:dyDescent="0.35">
      <c r="A13" t="s">
        <v>6</v>
      </c>
    </row>
    <row r="14" spans="1:1" x14ac:dyDescent="0.35">
      <c r="A14" t="s">
        <v>7</v>
      </c>
    </row>
    <row r="15" spans="1:1" x14ac:dyDescent="0.35">
      <c r="A15" s="2" t="s">
        <v>1</v>
      </c>
    </row>
    <row r="16" spans="1:1" x14ac:dyDescent="0.35">
      <c r="A16" t="s">
        <v>34</v>
      </c>
    </row>
    <row r="18" spans="1:1" x14ac:dyDescent="0.35">
      <c r="A18" s="1" t="s">
        <v>46</v>
      </c>
    </row>
    <row r="19" spans="1:1" x14ac:dyDescent="0.35">
      <c r="A19" t="s">
        <v>8</v>
      </c>
    </row>
    <row r="20" spans="1:1" x14ac:dyDescent="0.35">
      <c r="A20" t="s">
        <v>9</v>
      </c>
    </row>
    <row r="21" spans="1:1" x14ac:dyDescent="0.35">
      <c r="A21" s="2" t="s">
        <v>2</v>
      </c>
    </row>
    <row r="22" spans="1:1" x14ac:dyDescent="0.35">
      <c r="A22" t="s">
        <v>35</v>
      </c>
    </row>
    <row r="26" spans="1:1" x14ac:dyDescent="0.35">
      <c r="A26" t="s">
        <v>48</v>
      </c>
    </row>
    <row r="27" spans="1:1" x14ac:dyDescent="0.35">
      <c r="A27" t="s">
        <v>49</v>
      </c>
    </row>
    <row r="28" spans="1:1" x14ac:dyDescent="0.35">
      <c r="A28" t="s">
        <v>50</v>
      </c>
    </row>
    <row r="29" spans="1:1" x14ac:dyDescent="0.35">
      <c r="A29"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F6D0D459B70FE846B0824BEF55C690A0" ma:contentTypeVersion="15" ma:contentTypeDescription="Ein neues Dokument erstellen." ma:contentTypeScope="" ma:versionID="dc05a67d9b57cc91ecf07e8157f89b76">
  <xsd:schema xmlns:xsd="http://www.w3.org/2001/XMLSchema" xmlns:xs="http://www.w3.org/2001/XMLSchema" xmlns:p="http://schemas.microsoft.com/office/2006/metadata/properties" xmlns:ns2="02978372-0e66-47ef-8e35-29bc77d09bcc" xmlns:ns3="5a081e8b-0fa2-4168-b500-68ac02f407ad" targetNamespace="http://schemas.microsoft.com/office/2006/metadata/properties" ma:root="true" ma:fieldsID="e6a39ddee85957434d86c60c71a4d712" ns2:_="" ns3:_="">
    <xsd:import namespace="02978372-0e66-47ef-8e35-29bc77d09bcc"/>
    <xsd:import namespace="5a081e8b-0fa2-4168-b500-68ac02f407a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978372-0e66-47ef-8e35-29bc77d09bcc"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TaxCatchAll" ma:index="19" nillable="true" ma:displayName="Taxonomy Catch All Column" ma:hidden="true" ma:list="{77c2f0dc-3b7c-43c4-82fd-bcc3e8919e00}" ma:internalName="TaxCatchAll" ma:showField="CatchAllData" ma:web="02978372-0e66-47ef-8e35-29bc77d09bc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a081e8b-0fa2-4168-b500-68ac02f407a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7873907d-d049-4c15-acb6-7b8f2d6df67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a081e8b-0fa2-4168-b500-68ac02f407ad">
      <Terms xmlns="http://schemas.microsoft.com/office/infopath/2007/PartnerControls"/>
    </lcf76f155ced4ddcb4097134ff3c332f>
    <TaxCatchAll xmlns="02978372-0e66-47ef-8e35-29bc77d09bcc" xsi:nil="true"/>
    <SharedWithUsers xmlns="02978372-0e66-47ef-8e35-29bc77d09bcc">
      <UserInfo>
        <DisplayName/>
        <AccountId xsi:nil="true"/>
        <AccountType/>
      </UserInfo>
    </SharedWithUsers>
  </documentManagement>
</p:properties>
</file>

<file path=customXml/itemProps1.xml><?xml version="1.0" encoding="utf-8"?>
<ds:datastoreItem xmlns:ds="http://schemas.openxmlformats.org/officeDocument/2006/customXml" ds:itemID="{242ADB89-C8F3-4EB1-91ED-E3059777285C}">
  <ds:schemaRefs>
    <ds:schemaRef ds:uri="http://schemas.microsoft.com/sharepoint/v3/contenttype/forms"/>
  </ds:schemaRefs>
</ds:datastoreItem>
</file>

<file path=customXml/itemProps2.xml><?xml version="1.0" encoding="utf-8"?>
<ds:datastoreItem xmlns:ds="http://schemas.openxmlformats.org/officeDocument/2006/customXml" ds:itemID="{652552F6-F4A9-4BF1-8ED4-776302D148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978372-0e66-47ef-8e35-29bc77d09bcc"/>
    <ds:schemaRef ds:uri="5a081e8b-0fa2-4168-b500-68ac02f407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FECE0C-3BE0-47BB-A117-025CE9F06720}">
  <ds:schemaRefs>
    <ds:schemaRef ds:uri="http://purl.org/dc/elements/1.1/"/>
    <ds:schemaRef ds:uri="http://schemas.microsoft.com/office/2006/documentManagement/types"/>
    <ds:schemaRef ds:uri="http://www.w3.org/XML/1998/namespace"/>
    <ds:schemaRef ds:uri="http://schemas.microsoft.com/office/infopath/2007/PartnerControls"/>
    <ds:schemaRef ds:uri="http://purl.org/dc/terms/"/>
    <ds:schemaRef ds:uri="5a081e8b-0fa2-4168-b500-68ac02f407ad"/>
    <ds:schemaRef ds:uri="http://schemas.openxmlformats.org/package/2006/metadata/core-properties"/>
    <ds:schemaRef ds:uri="02978372-0e66-47ef-8e35-29bc77d09bcc"/>
    <ds:schemaRef ds:uri="http://schemas.microsoft.com/office/2006/metadata/properties"/>
    <ds:schemaRef ds:uri="http://purl.org/dc/dcmitype/"/>
    <ds:schemaRef ds:uri="2a23c68f-a610-4cf0-be32-d8fa933a1337"/>
    <ds:schemaRef ds:uri="76f780aa-2d06-4e38-b1e0-203efab4445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achieved_performance</vt:lpstr>
      <vt:lpstr>dlbs_interpretations-indicators</vt:lpstr>
      <vt:lpstr>competence_dimensions</vt:lpstr>
      <vt:lpstr>performance_levels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Susanne Suter</dc:creator>
  <cp:lastModifiedBy>Susanne Suter</cp:lastModifiedBy>
  <dcterms:created xsi:type="dcterms:W3CDTF">2026-02-11T08:27:48Z</dcterms:created>
  <dcterms:modified xsi:type="dcterms:W3CDTF">2026-04-20T08:17:06Z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0x010100F6D0D459B70FE846B0824BEF55C690A0</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